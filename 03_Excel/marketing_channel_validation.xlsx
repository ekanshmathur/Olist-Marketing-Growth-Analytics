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kans\Desktop\Project 1 - Marketing Analytics\05_Excel\"/>
    </mc:Choice>
  </mc:AlternateContent>
  <xr:revisionPtr revIDLastSave="0" documentId="13_ncr:1_{1263670A-6FD3-4A42-94B4-5C95AEF9A685}" xr6:coauthVersionLast="47" xr6:coauthVersionMax="47" xr10:uidLastSave="{00000000-0000-0000-0000-000000000000}"/>
  <bookViews>
    <workbookView xWindow="-96" yWindow="480" windowWidth="14580" windowHeight="12576" xr2:uid="{F07D5CAD-3B0F-462A-9C45-DB19D117CA98}"/>
  </bookViews>
  <sheets>
    <sheet name="marketing_channel_validation" sheetId="1" r:id="rId1"/>
  </sheets>
  <calcPr calcId="19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2" i="1"/>
  <c r="D12" i="1"/>
  <c r="C12" i="1"/>
  <c r="B12" i="1"/>
</calcChain>
</file>

<file path=xl/sharedStrings.xml><?xml version="1.0" encoding="utf-8"?>
<sst xmlns="http://schemas.openxmlformats.org/spreadsheetml/2006/main" count="16" uniqueCount="16">
  <si>
    <t>origin</t>
  </si>
  <si>
    <t>total_leads</t>
  </si>
  <si>
    <t>closed_deals</t>
  </si>
  <si>
    <t>conversion_rate_pct</t>
  </si>
  <si>
    <t>organic_search</t>
  </si>
  <si>
    <t>paid_search</t>
  </si>
  <si>
    <t>social</t>
  </si>
  <si>
    <t>unknown</t>
  </si>
  <si>
    <t>direct_traffic</t>
  </si>
  <si>
    <t>email</t>
  </si>
  <si>
    <t>referral</t>
  </si>
  <si>
    <t>other</t>
  </si>
  <si>
    <t>display</t>
  </si>
  <si>
    <t>other_publicities</t>
  </si>
  <si>
    <t>TOTAL</t>
  </si>
  <si>
    <t>Excel_Calculated_Rate.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</si>
</sst>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72919-07C8-44D4-BB03-CCF3A9983F1F}">
  <dimension ref="A1:E12"/>
  <sheetViews>
    <sheetView tabSelected="1" workbookViewId="0">
      <selection activeCell="I16" sqref="I16"/>
    </sheetView>
  </sheetViews>
  <sheetFormatPr defaultRowHeight="14.4" x14ac:dyDescent="0.3"/>
  <cols>
    <col min="1" max="1" width="14.6640625" bestFit="1" customWidth="1"/>
    <col min="2" max="2" width="10.109375" bestFit="1" customWidth="1"/>
    <col min="3" max="3" width="11.44140625" bestFit="1" customWidth="1"/>
    <col min="4" max="4" width="18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15</v>
      </c>
    </row>
    <row r="2" spans="1:5" x14ac:dyDescent="0.3">
      <c r="A2" t="s">
        <v>4</v>
      </c>
      <c r="B2">
        <v>2296</v>
      </c>
      <c r="C2">
        <v>271</v>
      </c>
      <c r="D2">
        <v>11.8</v>
      </c>
      <c r="E2">
        <f>ROUND(C2/B2*100,2)</f>
        <v>11.8</v>
      </c>
    </row>
    <row r="3" spans="1:5" x14ac:dyDescent="0.3">
      <c r="A3" t="s">
        <v>5</v>
      </c>
      <c r="B3">
        <v>1586</v>
      </c>
      <c r="C3">
        <v>195</v>
      </c>
      <c r="D3">
        <v>12.3</v>
      </c>
      <c r="E3">
        <f t="shared" ref="E3:E11" si="0">ROUND(C3/B3*100,2)</f>
        <v>12.3</v>
      </c>
    </row>
    <row r="4" spans="1:5" x14ac:dyDescent="0.3">
      <c r="A4" t="s">
        <v>6</v>
      </c>
      <c r="B4">
        <v>1350</v>
      </c>
      <c r="C4">
        <v>75</v>
      </c>
      <c r="D4">
        <v>5.56</v>
      </c>
      <c r="E4">
        <f t="shared" si="0"/>
        <v>5.56</v>
      </c>
    </row>
    <row r="5" spans="1:5" x14ac:dyDescent="0.3">
      <c r="A5" t="s">
        <v>7</v>
      </c>
      <c r="B5">
        <v>1159</v>
      </c>
      <c r="C5">
        <v>193</v>
      </c>
      <c r="D5">
        <v>16.649999999999999</v>
      </c>
      <c r="E5">
        <f t="shared" si="0"/>
        <v>16.649999999999999</v>
      </c>
    </row>
    <row r="6" spans="1:5" x14ac:dyDescent="0.3">
      <c r="A6" t="s">
        <v>8</v>
      </c>
      <c r="B6">
        <v>499</v>
      </c>
      <c r="C6">
        <v>56</v>
      </c>
      <c r="D6">
        <v>11.22</v>
      </c>
      <c r="E6">
        <f t="shared" si="0"/>
        <v>11.22</v>
      </c>
    </row>
    <row r="7" spans="1:5" x14ac:dyDescent="0.3">
      <c r="A7" t="s">
        <v>9</v>
      </c>
      <c r="B7">
        <v>493</v>
      </c>
      <c r="C7">
        <v>15</v>
      </c>
      <c r="D7">
        <v>3.04</v>
      </c>
      <c r="E7">
        <f t="shared" si="0"/>
        <v>3.04</v>
      </c>
    </row>
    <row r="8" spans="1:5" x14ac:dyDescent="0.3">
      <c r="A8" t="s">
        <v>10</v>
      </c>
      <c r="B8">
        <v>284</v>
      </c>
      <c r="C8">
        <v>24</v>
      </c>
      <c r="D8">
        <v>8.4499999999999993</v>
      </c>
      <c r="E8">
        <f t="shared" si="0"/>
        <v>8.4499999999999993</v>
      </c>
    </row>
    <row r="9" spans="1:5" x14ac:dyDescent="0.3">
      <c r="A9" t="s">
        <v>11</v>
      </c>
      <c r="B9">
        <v>150</v>
      </c>
      <c r="C9">
        <v>4</v>
      </c>
      <c r="D9">
        <v>2.67</v>
      </c>
      <c r="E9">
        <f t="shared" si="0"/>
        <v>2.67</v>
      </c>
    </row>
    <row r="10" spans="1:5" x14ac:dyDescent="0.3">
      <c r="A10" t="s">
        <v>12</v>
      </c>
      <c r="B10">
        <v>118</v>
      </c>
      <c r="C10">
        <v>6</v>
      </c>
      <c r="D10">
        <v>5.08</v>
      </c>
      <c r="E10">
        <f t="shared" si="0"/>
        <v>5.08</v>
      </c>
    </row>
    <row r="11" spans="1:5" x14ac:dyDescent="0.3">
      <c r="A11" t="s">
        <v>13</v>
      </c>
      <c r="B11">
        <v>65</v>
      </c>
      <c r="C11">
        <v>3</v>
      </c>
      <c r="D11">
        <v>4.62</v>
      </c>
      <c r="E11">
        <f t="shared" si="0"/>
        <v>4.62</v>
      </c>
    </row>
    <row r="12" spans="1:5" x14ac:dyDescent="0.3">
      <c r="A12" t="s">
        <v>14</v>
      </c>
      <c r="B12">
        <f>SUM(B2:B11)</f>
        <v>8000</v>
      </c>
      <c r="C12">
        <f>SUM(C2:C11)</f>
        <v>842</v>
      </c>
      <c r="D12">
        <f>ROUND(C12/B12*100,2)</f>
        <v>10.53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marketing_channel_validation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Ekansh Mathur</dc:creator>
  <cp:lastModifiedBy>Ekansh Mathur</cp:lastModifiedBy>
  <dcterms:created xsi:type="dcterms:W3CDTF">2026-10-12T14:51:47Z</dcterms:created>
  <dcterms:modified xsi:type="dcterms:W3CDTF">2026-10-12T14:56:17Z</dcterms:modified>
</cp:coreProperties>
</file>